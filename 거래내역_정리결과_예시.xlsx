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8de0e8f84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거래내역" sheetId="1" r:id="Re3545093623c4e13"/>
    <x:sheet xmlns:r="http://schemas.openxmlformats.org/officeDocument/2006/relationships" name="계정과목별 합계" sheetId="2" r:id="R947f51bc47d74ff3"/>
    <x:sheet xmlns:r="http://schemas.openxmlformats.org/officeDocument/2006/relationships" name="확인 필요 거래" sheetId="3" r:id="R3041a3ac1515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b/>
      <x:sz val="16"/>
      <x:color rgb="FFFFFFFF"/>
      <x:name val="Malgun Gothic"/>
    </x:font>
    <x:font>
      <x:b/>
      <x:sz val="10"/>
      <x:color rgb="FF172554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6D28D9"/>
      </x:patternFill>
    </x:fill>
    <x:fill>
      <x:patternFill patternType="solid">
        <x:fgColor rgb="FFEDE9FE"/>
      </x:patternFill>
    </x:fill>
    <x:fill>
      <x:patternFill patternType="solid">
        <x:fgColor rgb="FFEA580C"/>
      </x:patternFill>
    </x:fill>
  </x:fills>
  <x:borders count="2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FED7AA"/>
      </x:right>
      <x:bottom style="thin">
        <x:color rgb="FFFED7AA"/>
      </x:bottom>
    </x:border>
    <x:border>
      <x:left style="thin">
        <x:color rgb="FFFED7AA"/>
      </x:left>
      <x:right style="thin">
        <x:color rgb="FFFED7AA"/>
      </x:right>
      <x:bottom style="thin">
        <x:color rgb="FFFED7AA"/>
      </x:bottom>
    </x:border>
    <x:border>
      <x:left style="thin">
        <x:color rgb="FFFED7AA"/>
      </x:left>
      <x:bottom style="thin">
        <x:color rgb="FFFED7AA"/>
      </x:bottom>
    </x:border>
    <x:border>
      <x:right style="thin">
        <x:color rgb="FFFED7AA"/>
      </x:right>
      <x:top style="thin">
        <x:color rgb="FFFED7AA"/>
      </x:top>
      <x:bottom style="thin">
        <x:color rgb="FFFED7AA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  <x:border>
      <x:left style="thin">
        <x:color rgb="FFFED7AA"/>
      </x:left>
      <x:top style="thin">
        <x:color rgb="FFFED7AA"/>
      </x:top>
      <x:bottom style="thin">
        <x:color rgb="FFFED7AA"/>
      </x:bottom>
    </x:border>
    <x:border>
      <x:right style="thin">
        <x:color rgb="FFFED7AA"/>
      </x:right>
      <x:top style="thin">
        <x:color rgb="FFFED7AA"/>
      </x:top>
    </x:border>
    <x:border>
      <x:left style="thin">
        <x:color rgb="FFFED7AA"/>
      </x:left>
      <x:right style="thin">
        <x:color rgb="FFFED7AA"/>
      </x:right>
      <x:top style="thin">
        <x:color rgb="FFFED7AA"/>
      </x:top>
    </x:border>
    <x:border>
      <x:left style="thin">
        <x:color rgb="FFFED7AA"/>
      </x:left>
      <x:top style="thin">
        <x:color rgb="FFFED7AA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201" fontId="1" fillId="0" borderId="0" xfId="0" applyNumberFormat="1" applyFont="1" applyFill="1" applyBorder="1"/>
    <x:xf numFmtId="201" fontId="4" fillId="5" borderId="0" xfId="0" applyNumberFormat="1" applyFont="1" applyFill="1" applyBorder="1"/>
    <x:xf numFmtId="0" fontId="2" fillId="4" borderId="10" xfId="0" applyNumberFormat="1" applyFont="1" applyFill="1" applyBorder="1" applyAlignment="1">
      <x:alignment horizontal="center"/>
    </x:xf>
    <x:xf numFmtId="0" fontId="1" fillId="0" borderId="10" xfId="0" applyNumberFormat="1" applyFont="1" applyFill="1" applyBorder="1"/>
    <x:xf numFmtId="201" fontId="1" fillId="0" borderId="10" xfId="0" applyNumberFormat="1" applyFont="1" applyFill="1" applyBorder="1"/>
    <x:xf numFmtId="0" fontId="4" fillId="5" borderId="10" xfId="0" applyNumberFormat="1" applyFont="1" applyFill="1" applyBorder="1"/>
    <x:xf numFmtId="201" fontId="4" fillId="5" borderId="1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11" xfId="0" applyNumberFormat="1" applyFont="1" applyFill="1" applyBorder="1" applyAlignment="1">
      <x:alignment horizontal="center"/>
    </x:xf>
    <x:xf numFmtId="0" fontId="2" fillId="6" borderId="12" xfId="0" applyNumberFormat="1" applyFont="1" applyFill="1" applyBorder="1" applyAlignment="1">
      <x:alignment horizontal="center"/>
    </x:xf>
    <x:xf numFmtId="0" fontId="2" fillId="6" borderId="13" xfId="0" applyNumberFormat="1" applyFont="1" applyFill="1" applyBorder="1" applyAlignment="1">
      <x:alignment horizontal="center"/>
    </x:xf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201" fontId="1" fillId="0" borderId="15" xfId="0" applyNumberFormat="1" applyFont="1" applyFill="1" applyBorder="1"/>
    <x:xf numFmtId="201" fontId="1" fillId="0" borderId="1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a7f59bd0c4e08" /><Relationship Type="http://schemas.openxmlformats.org/officeDocument/2006/relationships/theme" Target="/xl/theme/theme1.xml" Id="R28a48484b46346e4" /><Relationship Type="http://schemas.openxmlformats.org/officeDocument/2006/relationships/sharedStrings" Target="/xl/sharedStrings.xml" Id="Rac1357110dd94b92" /><Relationship Type="http://schemas.openxmlformats.org/officeDocument/2006/relationships/worksheet" Target="/xl/worksheets/sheet1.xml" Id="Re3545093623c4e13" /><Relationship Type="http://schemas.openxmlformats.org/officeDocument/2006/relationships/worksheet" Target="/xl/worksheets/sheet2.xml" Id="R947f51bc47d74ff3" /><Relationship Type="http://schemas.openxmlformats.org/officeDocument/2006/relationships/worksheet" Target="/xl/worksheets/sheet3.xml" Id="R3041a3ac151542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.109999656677246" hidden="0" customWidth="1"/>
    <x:col min="3" max="3" width="20" hidden="0" customWidth="1"/>
    <x:col min="4" max="4" width="5.889999866485596" hidden="0" customWidth="1"/>
    <x:col min="5" max="5" width="2.109999895095825" hidden="0" customWidth="1"/>
    <x:col min="6" max="6" width="22" hidden="0" customWidth="1"/>
    <x:col min="7" max="7" width="2.559999942779541" hidden="0" customWidth="1"/>
    <x:col min="8" max="8" width="3.3299999237060547" hidden="0" customWidth="1"/>
  </x:cols>
  <x:sheetData>
    <x:row r="1">
      <x:c r="A1" s="17" t="str">
        <x:v>원본파일</x:v>
      </x:c>
      <x:c r="B1" s="18" t="str">
        <x:v>거래일자</x:v>
      </x:c>
      <x:c r="C1" s="18" t="str">
        <x:v>거래처</x:v>
      </x:c>
      <x:c r="D1" s="18" t="str">
        <x:v>금액</x:v>
      </x:c>
      <x:c r="E1" s="18" t="str">
        <x:v>결제수단</x:v>
      </x:c>
      <x:c r="F1" s="18" t="str">
        <x:v>메모</x:v>
      </x:c>
      <x:c r="G1" s="18" t="str">
        <x:v>계정과목</x:v>
      </x:c>
      <x:c r="H1" s="19" t="str">
        <x:v>처리상태</x:v>
      </x:c>
    </x:row>
    <x:row r="2">
      <x:c r="A2" s="5" t="str">
        <x:v>card_2026_08.csv</x:v>
      </x:c>
      <x:c r="B2" s="20" t="n">
        <x:v>46237</x:v>
      </x:c>
      <x:c r="C2" s="6" t="str">
        <x:v>스타벅스 평촌점</x:v>
      </x:c>
      <x:c r="D2" s="22" t="n">
        <x:v>8500</x:v>
      </x:c>
      <x:c r="E2" s="6" t="str">
        <x:v>법인카드</x:v>
      </x:c>
      <x:c r="F2" s="6" t="str">
        <x:v>고객 미팅</x:v>
      </x:c>
      <x:c r="G2" s="6" t="str">
        <x:v>복리후생비</x:v>
      </x:c>
      <x:c r="H2" s="7" t="str">
        <x:v>정상</x:v>
      </x:c>
    </x:row>
    <x:row r="3">
      <x:c r="A3" s="5" t="str">
        <x:v>card_2026_08.csv</x:v>
      </x:c>
      <x:c r="B3" s="20" t="n">
        <x:v>46239</x:v>
      </x:c>
      <x:c r="C3" s="6" t="str">
        <x:v>쿠팡</x:v>
      </x:c>
      <x:c r="D3" s="22" t="n">
        <x:v>45900</x:v>
      </x:c>
      <x:c r="E3" s="6" t="str">
        <x:v>법인카드</x:v>
      </x:c>
      <x:c r="F3" s="6" t="str">
        <x:v>사무용품</x:v>
      </x:c>
      <x:c r="G3" s="6" t="str">
        <x:v>소모품비</x:v>
      </x:c>
      <x:c r="H3" s="7" t="str">
        <x:v>정상</x:v>
      </x:c>
    </x:row>
    <x:row r="4">
      <x:c r="A4" s="5" t="str">
        <x:v>card_2026_08.csv</x:v>
      </x:c>
      <x:c r="B4" s="20" t="n">
        <x:v>46241</x:v>
      </x:c>
      <x:c r="C4" s="6" t="str">
        <x:v>코레일</x:v>
      </x:c>
      <x:c r="D4" s="22" t="n">
        <x:v>38000</x:v>
      </x:c>
      <x:c r="E4" s="6" t="str">
        <x:v>법인카드</x:v>
      </x:c>
      <x:c r="F4" s="6" t="str">
        <x:v>서울 출장</x:v>
      </x:c>
      <x:c r="G4" s="6" t="str">
        <x:v>여비교통비</x:v>
      </x:c>
      <x:c r="H4" s="7" t="str">
        <x:v>정상</x:v>
      </x:c>
    </x:row>
    <x:row r="5">
      <x:c r="A5" s="5" t="str">
        <x:v>card_2026_08.csv</x:v>
      </x:c>
      <x:c r="B5" s="20" t="n">
        <x:v>46244</x:v>
      </x:c>
      <x:c r="C5" s="6" t="str">
        <x:v>한국전력</x:v>
      </x:c>
      <x:c r="D5" s="22" t="n">
        <x:v>126400</x:v>
      </x:c>
      <x:c r="E5" s="6" t="str">
        <x:v>법인카드</x:v>
      </x:c>
      <x:c r="F5" s="6" t="str">
        <x:v>전기요금</x:v>
      </x:c>
      <x:c r="G5" s="6" t="str">
        <x:v>수도광열비</x:v>
      </x:c>
      <x:c r="H5" s="7" t="str">
        <x:v>정상</x:v>
      </x:c>
    </x:row>
    <x:row r="6">
      <x:c r="A6" s="5" t="str">
        <x:v>card_2026_08.csv</x:v>
      </x:c>
      <x:c r="B6" s="20" t="n">
        <x:v>46246</x:v>
      </x:c>
      <x:c r="C6" s="6" t="str">
        <x:v>알파문구</x:v>
      </x:c>
      <x:c r="D6" s="22" t="n">
        <x:v>18700</x:v>
      </x:c>
      <x:c r="E6" s="6" t="str">
        <x:v>법인카드</x:v>
      </x:c>
      <x:c r="F6" s="6" t="str">
        <x:v>문구 구입</x:v>
      </x:c>
      <x:c r="G6" s="6" t="str">
        <x:v>소모품비</x:v>
      </x:c>
      <x:c r="H6" s="7" t="str">
        <x:v>정상</x:v>
      </x:c>
    </x:row>
    <x:row r="7">
      <x:c r="A7" s="5" t="str">
        <x:v>card_2026_08.csv</x:v>
      </x:c>
      <x:c r="B7" s="20" t="n">
        <x:v>46249</x:v>
      </x:c>
      <x:c r="C7" s="6" t="str">
        <x:v>미분류상점</x:v>
      </x:c>
      <x:c r="D7" s="22" t="n">
        <x:v>27000</x:v>
      </x:c>
      <x:c r="E7" s="6" t="str">
        <x:v>법인카드</x:v>
      </x:c>
      <x:c r="F7" s="6" t="str">
        <x:v>증빙 확인 필요</x:v>
      </x:c>
      <x:c r="G7" s="6" t="str">
        <x:v>확인 필요</x:v>
      </x:c>
      <x:c r="H7" s="7" t="str">
        <x:v>계정과목 확인</x:v>
      </x:c>
    </x:row>
    <x:row r="8">
      <x:c r="A8" s="5" t="str">
        <x:v>bank_2026_08.csv</x:v>
      </x:c>
      <x:c r="B8" s="20" t="n">
        <x:v>46235</x:v>
      </x:c>
      <x:c r="C8" s="6" t="str">
        <x:v>사무실임대</x:v>
      </x:c>
      <x:c r="D8" s="22" t="n">
        <x:v>470000</x:v>
      </x:c>
      <x:c r="E8" s="6" t="str">
        <x:v>계좌이체</x:v>
      </x:c>
      <x:c r="F8" s="6" t="str">
        <x:v>월세 및 관리비</x:v>
      </x:c>
      <x:c r="G8" s="6" t="str">
        <x:v>임차료</x:v>
      </x:c>
      <x:c r="H8" s="7" t="str">
        <x:v>정상</x:v>
      </x:c>
    </x:row>
    <x:row r="9">
      <x:c r="A9" s="5" t="str">
        <x:v>bank_2026_08.csv</x:v>
      </x:c>
      <x:c r="B9" s="20" t="n">
        <x:v>46242</x:v>
      </x:c>
      <x:c r="C9" s="6" t="str">
        <x:v>KT</x:v>
      </x:c>
      <x:c r="D9" s="22" t="n">
        <x:v>55000</x:v>
      </x:c>
      <x:c r="E9" s="6" t="str">
        <x:v>자동이체</x:v>
      </x:c>
      <x:c r="F9" s="6" t="str">
        <x:v>통신요금</x:v>
      </x:c>
      <x:c r="G9" s="6" t="str">
        <x:v>통신비</x:v>
      </x:c>
      <x:c r="H9" s="7" t="str">
        <x:v>정상</x:v>
      </x:c>
    </x:row>
    <x:row r="10">
      <x:c r="A10" s="5" t="str">
        <x:v>bank_2026_08.csv</x:v>
      </x:c>
      <x:c r="B10" s="20" t="n">
        <x:v>46248</x:v>
      </x:c>
      <x:c r="C10" s="6" t="str">
        <x:v>국세청</x:v>
      </x:c>
      <x:c r="D10" s="22" t="n">
        <x:v>120000</x:v>
      </x:c>
      <x:c r="E10" s="6" t="str">
        <x:v>계좌이체</x:v>
      </x:c>
      <x:c r="F10" s="6" t="str">
        <x:v>세금 납부</x:v>
      </x:c>
      <x:c r="G10" s="6" t="str">
        <x:v>세금과공과</x:v>
      </x:c>
      <x:c r="H10" s="7" t="str">
        <x:v>정상</x:v>
      </x:c>
    </x:row>
    <x:row r="11">
      <x:c r="A11" s="5" t="str">
        <x:v>bank_2026_08.csv</x:v>
      </x:c>
      <x:c r="B11" s="20" t="n">
        <x:v>46252</x:v>
      </x:c>
      <x:c r="C11" s="6" t="str">
        <x:v>세무법인한빛</x:v>
      </x:c>
      <x:c r="D11" s="22" t="n">
        <x:v>110000</x:v>
      </x:c>
      <x:c r="E11" s="6" t="str">
        <x:v>계좌이체</x:v>
      </x:c>
      <x:c r="F11" s="6" t="str">
        <x:v>자문 수수료</x:v>
      </x:c>
      <x:c r="G11" s="6" t="str">
        <x:v>지급수수료</x:v>
      </x:c>
      <x:c r="H11" s="7" t="str">
        <x:v>정상</x:v>
      </x:c>
    </x:row>
    <x:row r="12">
      <x:c r="A12" s="5" t="str">
        <x:v>bank_2026_08.csv</x:v>
      </x:c>
      <x:c r="B12" s="20" t="n">
        <x:v>46255</x:v>
      </x:c>
      <x:c r="C12" s="6" t="str">
        <x:v>네이버클라우드</x:v>
      </x:c>
      <x:c r="D12" s="22" t="n">
        <x:v>45000</x:v>
      </x:c>
      <x:c r="E12" s="6" t="str">
        <x:v>자동이체</x:v>
      </x:c>
      <x:c r="F12" s="6" t="str">
        <x:v>클라우드 이용료</x:v>
      </x:c>
      <x:c r="G12" s="6" t="str">
        <x:v>통신비</x:v>
      </x:c>
      <x:c r="H12" s="7" t="str">
        <x:v>정상</x:v>
      </x:c>
    </x:row>
    <x:row r="13">
      <x:c r="A13" s="5" t="str">
        <x:v>bank_2026_08.csv</x:v>
      </x:c>
      <x:c r="B13" s="20" t="n">
        <x:v>46259</x:v>
      </x:c>
      <x:c r="C13" s="6" t="str">
        <x:v>배달의민족</x:v>
      </x:c>
      <x:c r="D13" s="22" t="n">
        <x:v>52000</x:v>
      </x:c>
      <x:c r="E13" s="6" t="str">
        <x:v>법인카드</x:v>
      </x:c>
      <x:c r="F13" s="6" t="str">
        <x:v>야근 식대</x:v>
      </x:c>
      <x:c r="G13" s="6" t="str">
        <x:v>복리후생비</x:v>
      </x:c>
      <x:c r="H13" s="7" t="str">
        <x:v>정상</x:v>
      </x:c>
    </x:row>
    <x:row r="14">
      <x:c r="A14" s="5" t="str">
        <x:v>card_2026_09.csv</x:v>
      </x:c>
      <x:c r="B14" s="20" t="n">
        <x:v>46267</x:v>
      </x:c>
      <x:c r="C14" s="6" t="str">
        <x:v>스타벅스 강남점</x:v>
      </x:c>
      <x:c r="D14" s="22" t="n">
        <x:v>12000</x:v>
      </x:c>
      <x:c r="E14" s="6" t="str">
        <x:v>법인카드</x:v>
      </x:c>
      <x:c r="F14" s="6" t="str">
        <x:v>고객 미팅</x:v>
      </x:c>
      <x:c r="G14" s="6" t="str">
        <x:v>복리후생비</x:v>
      </x:c>
      <x:c r="H14" s="7" t="str">
        <x:v>정상</x:v>
      </x:c>
    </x:row>
    <x:row r="15">
      <x:c r="A15" s="5" t="str">
        <x:v>card_2026_09.csv</x:v>
      </x:c>
      <x:c r="B15" s="20" t="n">
        <x:v>46269</x:v>
      </x:c>
      <x:c r="C15" s="6" t="str">
        <x:v>코레일</x:v>
      </x:c>
      <x:c r="D15" s="22" t="n">
        <x:v>52000</x:v>
      </x:c>
      <x:c r="E15" s="6" t="str">
        <x:v>법인카드</x:v>
      </x:c>
      <x:c r="F15" s="6" t="str">
        <x:v>부산 출장</x:v>
      </x:c>
      <x:c r="G15" s="6" t="str">
        <x:v>여비교통비</x:v>
      </x:c>
      <x:c r="H15" s="7" t="str">
        <x:v>정상</x:v>
      </x:c>
    </x:row>
    <x:row r="16">
      <x:c r="A16" s="5" t="str">
        <x:v>card_2026_09.csv</x:v>
      </x:c>
      <x:c r="B16" s="20" t="n">
        <x:v>46276</x:v>
      </x:c>
      <x:c r="C16" s="6" t="str">
        <x:v>네이버클라우드</x:v>
      </x:c>
      <x:c r="D16" s="22" t="n">
        <x:v>45000</x:v>
      </x:c>
      <x:c r="E16" s="6" t="str">
        <x:v>자동이체</x:v>
      </x:c>
      <x:c r="F16" s="6" t="str">
        <x:v>클라우드 이용료</x:v>
      </x:c>
      <x:c r="G16" s="6" t="str">
        <x:v>통신비</x:v>
      </x:c>
      <x:c r="H16" s="7" t="str">
        <x:v>정상</x:v>
      </x:c>
    </x:row>
    <x:row r="17">
      <x:c r="A17" s="8" t="str">
        <x:v>card_2026_09.csv</x:v>
      </x:c>
      <x:c r="B17" s="21" t="n">
        <x:v>46278</x:v>
      </x:c>
      <x:c r="C17" s="9" t="str">
        <x:v>미분류상점</x:v>
      </x:c>
      <x:c r="D17" s="23" t="n">
        <x:v>27000</x:v>
      </x:c>
      <x:c r="E17" s="9" t="str">
        <x:v>법인카드</x:v>
      </x:c>
      <x:c r="F17" s="9" t="str">
        <x:v>증빙 확인 필요</x:v>
      </x:c>
      <x:c r="G17" s="9" t="str">
        <x:v>확인 필요</x:v>
      </x:c>
      <x:c r="H17" s="10" t="str">
        <x:v>계정과목 확인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0" customHeight="1">
      <x:c r="A1" s="26" t="str">
        <x:v>계정과목별 거래 요약</x:v>
      </x:c>
      <x:c r="B1" s="26"/>
      <x:c r="C1" s="26"/>
    </x:row>
    <x:row r="2">
      <x:c r="A2" s="1"/>
      <x:c r="B2" s="1"/>
      <x:c r="C2" s="1"/>
    </x:row>
    <x:row r="3">
      <x:c r="A3" s="34" t="str">
        <x:v>계정과목</x:v>
      </x:c>
      <x:c r="B3" s="34" t="str">
        <x:v>거래 건수</x:v>
      </x:c>
      <x:c r="C3" s="34" t="str">
        <x:v>합계 금액</x:v>
      </x:c>
    </x:row>
    <x:row r="4">
      <x:c r="A4" s="35" t="str">
        <x:v>복리후생비</x:v>
      </x:c>
      <x:c r="B4" s="35" t="n">
        <x:f>COUNTIF('전체 거래내역'!$G$2:$G$17,A4)</x:f>
        <x:v>3</x:v>
      </x:c>
      <x:c r="C4" s="36" t="n">
        <x:f>SUMIF('전체 거래내역'!$G$2:$G$17,A4,'전체 거래내역'!$D$2:$D$17)</x:f>
        <x:v>72500</x:v>
      </x:c>
    </x:row>
    <x:row r="5">
      <x:c r="A5" s="35" t="str">
        <x:v>소모품비</x:v>
      </x:c>
      <x:c r="B5" s="35" t="n">
        <x:f>COUNTIF('전체 거래내역'!$G$2:$G$17,A5)</x:f>
        <x:v>2</x:v>
      </x:c>
      <x:c r="C5" s="36" t="n">
        <x:f>SUMIF('전체 거래내역'!$G$2:$G$17,A5,'전체 거래내역'!$D$2:$D$17)</x:f>
        <x:v>64600</x:v>
      </x:c>
    </x:row>
    <x:row r="6">
      <x:c r="A6" s="35" t="str">
        <x:v>여비교통비</x:v>
      </x:c>
      <x:c r="B6" s="35" t="n">
        <x:f>COUNTIF('전체 거래내역'!$G$2:$G$17,A6)</x:f>
        <x:v>2</x:v>
      </x:c>
      <x:c r="C6" s="36" t="n">
        <x:f>SUMIF('전체 거래내역'!$G$2:$G$17,A6,'전체 거래내역'!$D$2:$D$17)</x:f>
        <x:v>90000</x:v>
      </x:c>
    </x:row>
    <x:row r="7">
      <x:c r="A7" s="35" t="str">
        <x:v>수도광열비</x:v>
      </x:c>
      <x:c r="B7" s="35" t="n">
        <x:f>COUNTIF('전체 거래내역'!$G$2:$G$17,A7)</x:f>
        <x:v>1</x:v>
      </x:c>
      <x:c r="C7" s="36" t="n">
        <x:f>SUMIF('전체 거래내역'!$G$2:$G$17,A7,'전체 거래내역'!$D$2:$D$17)</x:f>
        <x:v>126400</x:v>
      </x:c>
    </x:row>
    <x:row r="8">
      <x:c r="A8" s="35" t="str">
        <x:v>임차료</x:v>
      </x:c>
      <x:c r="B8" s="35" t="n">
        <x:f>COUNTIF('전체 거래내역'!$G$2:$G$17,A8)</x:f>
        <x:v>1</x:v>
      </x:c>
      <x:c r="C8" s="36" t="n">
        <x:f>SUMIF('전체 거래내역'!$G$2:$G$17,A8,'전체 거래내역'!$D$2:$D$17)</x:f>
        <x:v>470000</x:v>
      </x:c>
    </x:row>
    <x:row r="9">
      <x:c r="A9" s="35" t="str">
        <x:v>통신비</x:v>
      </x:c>
      <x:c r="B9" s="35" t="n">
        <x:f>COUNTIF('전체 거래내역'!$G$2:$G$17,A9)</x:f>
        <x:v>3</x:v>
      </x:c>
      <x:c r="C9" s="36" t="n">
        <x:f>SUMIF('전체 거래내역'!$G$2:$G$17,A9,'전체 거래내역'!$D$2:$D$17)</x:f>
        <x:v>145000</x:v>
      </x:c>
    </x:row>
    <x:row r="10">
      <x:c r="A10" s="35" t="str">
        <x:v>세금과공과</x:v>
      </x:c>
      <x:c r="B10" s="35" t="n">
        <x:f>COUNTIF('전체 거래내역'!$G$2:$G$17,A10)</x:f>
        <x:v>1</x:v>
      </x:c>
      <x:c r="C10" s="36" t="n">
        <x:f>SUMIF('전체 거래내역'!$G$2:$G$17,A10,'전체 거래내역'!$D$2:$D$17)</x:f>
        <x:v>120000</x:v>
      </x:c>
    </x:row>
    <x:row r="11">
      <x:c r="A11" s="35" t="str">
        <x:v>지급수수료</x:v>
      </x:c>
      <x:c r="B11" s="35" t="n">
        <x:f>COUNTIF('전체 거래내역'!$G$2:$G$17,A11)</x:f>
        <x:v>1</x:v>
      </x:c>
      <x:c r="C11" s="36" t="n">
        <x:f>SUMIF('전체 거래내역'!$G$2:$G$17,A11,'전체 거래내역'!$D$2:$D$17)</x:f>
        <x:v>110000</x:v>
      </x:c>
    </x:row>
    <x:row r="12">
      <x:c r="A12" s="35" t="str">
        <x:v>확인 필요</x:v>
      </x:c>
      <x:c r="B12" s="35" t="n">
        <x:f>COUNTIF('전체 거래내역'!$G$2:$G$17,A12)</x:f>
        <x:v>2</x:v>
      </x:c>
      <x:c r="C12" s="36" t="n">
        <x:f>SUMIF('전체 거래내역'!$G$2:$G$17,A12,'전체 거래내역'!$D$2:$D$17)</x:f>
        <x:v>54000</x:v>
      </x:c>
    </x:row>
    <x:row r="13">
      <x:c r="A13" s="37" t="str">
        <x:v>전체 합계</x:v>
      </x:c>
      <x:c r="B13" s="37"/>
      <x:c r="C13" s="38" t="n">
        <x:f>SUM(C4:C12)</x:f>
        <x:v>1252500</x:v>
      </x:c>
    </x:row>
  </x:sheetData>
  <x:mergeCells>
    <x:mergeCell ref="A1:C1"/>
    <x:mergeCell ref="A13:B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.109999656677246" hidden="0" customWidth="1"/>
    <x:col min="3" max="3" width="2.559999942779541" hidden="0" customWidth="1"/>
    <x:col min="4" max="4" width="5" hidden="0" customWidth="1"/>
    <x:col min="5" max="5" width="2.109999895095825" hidden="0" customWidth="1"/>
    <x:col min="6" max="6" width="22" hidden="0" customWidth="1"/>
    <x:col min="7" max="7" width="2.559999942779541" hidden="0" customWidth="1"/>
    <x:col min="8" max="8" width="22" hidden="0" customWidth="1"/>
  </x:cols>
  <x:sheetData>
    <x:row r="1">
      <x:c r="A1" s="42" t="str">
        <x:v>원본파일</x:v>
      </x:c>
      <x:c r="B1" s="43" t="str">
        <x:v>거래일자</x:v>
      </x:c>
      <x:c r="C1" s="43" t="str">
        <x:v>거래처</x:v>
      </x:c>
      <x:c r="D1" s="43" t="str">
        <x:v>금액</x:v>
      </x:c>
      <x:c r="E1" s="43" t="str">
        <x:v>결제수단</x:v>
      </x:c>
      <x:c r="F1" s="43" t="str">
        <x:v>메모</x:v>
      </x:c>
      <x:c r="G1" s="43" t="str">
        <x:v>계정과목</x:v>
      </x:c>
      <x:c r="H1" s="44" t="str">
        <x:v>처리상태</x:v>
      </x:c>
    </x:row>
    <x:row r="2">
      <x:c r="A2" s="45" t="str">
        <x:v>card_2026_08.csv</x:v>
      </x:c>
      <x:c r="B2" s="46" t="str">
        <x:v>2026-08-15</x:v>
      </x:c>
      <x:c r="C2" s="46" t="str">
        <x:v>미분류상점</x:v>
      </x:c>
      <x:c r="D2" s="51" t="n">
        <x:v>27000</x:v>
      </x:c>
      <x:c r="E2" s="46" t="str">
        <x:v>법인카드</x:v>
      </x:c>
      <x:c r="F2" s="46" t="str">
        <x:v>증빙 확인 필요</x:v>
      </x:c>
      <x:c r="G2" s="46" t="str">
        <x:v>확인 필요</x:v>
      </x:c>
      <x:c r="H2" s="47" t="str">
        <x:v>계정과목 확인</x:v>
      </x:c>
    </x:row>
    <x:row r="3">
      <x:c r="A3" s="45" t="str">
        <x:v>card_2026_09.csv</x:v>
      </x:c>
      <x:c r="B3" s="46" t="str">
        <x:v>2026-09-06</x:v>
      </x:c>
      <x:c r="C3" s="46" t="str"/>
      <x:c r="D3" s="51" t="n">
        <x:v>18000</x:v>
      </x:c>
      <x:c r="E3" s="46" t="str">
        <x:v>법인카드</x:v>
      </x:c>
      <x:c r="F3" s="46" t="str">
        <x:v>거래처 누락</x:v>
      </x:c>
      <x:c r="G3" s="46" t="str"/>
      <x:c r="H3" s="47" t="str">
        <x:v>거래처 누락</x:v>
      </x:c>
    </x:row>
    <x:row r="4">
      <x:c r="A4" s="45" t="str">
        <x:v>card_2026_09.csv</x:v>
      </x:c>
      <x:c r="B4" s="46" t="str">
        <x:v>2026-09-09</x:v>
      </x:c>
      <x:c r="C4" s="46" t="str">
        <x:v>쿠팡</x:v>
      </x:c>
      <x:c r="D4" s="51" t="str">
        <x:v>삼만원</x:v>
      </x:c>
      <x:c r="E4" s="46" t="str">
        <x:v>법인카드</x:v>
      </x:c>
      <x:c r="F4" s="46" t="str">
        <x:v>금액 형식 오류</x:v>
      </x:c>
      <x:c r="G4" s="46" t="str"/>
      <x:c r="H4" s="47" t="str">
        <x:v>금액이 숫자가 아님</x:v>
      </x:c>
    </x:row>
    <x:row r="5">
      <x:c r="A5" s="48" t="str">
        <x:v>card_2026_09.csv</x:v>
      </x:c>
      <x:c r="B5" s="49" t="str">
        <x:v>2026-09-13</x:v>
      </x:c>
      <x:c r="C5" s="49" t="str">
        <x:v>미분류상점</x:v>
      </x:c>
      <x:c r="D5" s="52" t="n">
        <x:v>27000</x:v>
      </x:c>
      <x:c r="E5" s="49" t="str">
        <x:v>법인카드</x:v>
      </x:c>
      <x:c r="F5" s="49" t="str">
        <x:v>증빙 확인 필요</x:v>
      </x:c>
      <x:c r="G5" s="49" t="str">
        <x:v>확인 필요</x:v>
      </x:c>
      <x:c r="H5" s="50" t="str">
        <x:v>계정과목 확인</x:v>
      </x:c>
    </x:row>
  </x:sheetData>
  <x:pageMargins left="0.7" right="0.7" top="0.75" bottom="0.75" header="0.3" footer="0.3"/>
</x:worksheet>
</file>